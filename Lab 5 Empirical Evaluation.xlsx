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<sst xmlns="http://schemas.openxmlformats.org/spreadsheetml/2006/main" count="35" uniqueCount="18">
  <si>
    <t>N (nearest 1)</t>
  </si>
  <si>
    <t>T(N) (ms)</t>
  </si>
  <si>
    <t>Ig(N)</t>
  </si>
  <si>
    <t>lg(T(N))</t>
  </si>
  <si>
    <t>Predicted T(N)</t>
  </si>
  <si>
    <t>Approximate ratios of time</t>
  </si>
  <si>
    <t>Slope</t>
  </si>
  <si>
    <t>Intercept</t>
  </si>
  <si>
    <t>Smallest Group 1</t>
  </si>
  <si>
    <t>N</t>
  </si>
  <si>
    <t>T(N)</t>
  </si>
  <si>
    <t>lg(N)</t>
  </si>
  <si>
    <t>Approximate Ratio of time</t>
  </si>
  <si>
    <t>Nearest Group 2</t>
  </si>
  <si>
    <t>N (nearest 2)</t>
  </si>
  <si>
    <t>Approximate ratio of time</t>
  </si>
  <si>
    <t>Smallest Group 2</t>
  </si>
  <si>
    <t>Approximate ratio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</si>
</sst>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20.0"/>
      <color theme="1"/>
      <name val="Arial"/>
      <scheme val="minor"/>
    </font>
    <font>
      <sz val="16.0"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T(N) (ms)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Sheet1!$A$2:$A$7</c:f>
            </c:numRef>
          </c:xVal>
          <c:yVal>
            <c:numRef>
              <c:f>Sheet1!$B$2:$B$7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278100"/>
        <c:axId val="1043167897"/>
      </c:scatterChart>
      <c:valAx>
        <c:axId val="3562781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167897"/>
      </c:valAx>
      <c:valAx>
        <c:axId val="1043167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278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= 0.27x + 7.18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lg(T(N))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Sheet1!$C$2:$C$7</c:f>
            </c:numRef>
          </c:xVal>
          <c:yVal>
            <c:numRef>
              <c:f>Sheet1!$D$2:$D$7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633885"/>
        <c:axId val="995505981"/>
      </c:scatterChart>
      <c:valAx>
        <c:axId val="19286338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505981"/>
      </c:valAx>
      <c:valAx>
        <c:axId val="995505981"/>
        <c:scaling>
          <c:orientation val="minMax"/>
          <c:max val="12.0"/>
          <c:min val="9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633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Sheet1!$B$19:$B$20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Sheet1!$A$21:$A$26</c:f>
            </c:numRef>
          </c:xVal>
          <c:yVal>
            <c:numRef>
              <c:f>Sheet1!$B$21:$B$26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804253"/>
        <c:axId val="1310685862"/>
      </c:scatterChart>
      <c:valAx>
        <c:axId val="20188042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685862"/>
      </c:valAx>
      <c:valAx>
        <c:axId val="1310685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8042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= 0.57x + 3.54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Sheet1!$C$20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lg(N)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Sheet1!$D$21:$D$26</c:f>
            </c:numRef>
          </c:xVal>
          <c:yVal>
            <c:numRef>
              <c:f>Sheet1!$C$21:$C$26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854490"/>
        <c:axId val="2046016451"/>
      </c:scatterChart>
      <c:valAx>
        <c:axId val="2748544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016451"/>
      </c:valAx>
      <c:valAx>
        <c:axId val="2046016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48544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Sheet1!$A$40:$A$41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N (nearest 2)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Sheet1!$B$42:$B$47</c:f>
            </c:numRef>
          </c:xVal>
          <c:yVal>
            <c:numRef>
              <c:f>Sheet1!$A$42:$A$47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710845"/>
        <c:axId val="136289408"/>
      </c:scatterChart>
      <c:valAx>
        <c:axId val="13557108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289408"/>
      </c:valAx>
      <c:valAx>
        <c:axId val="136289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7108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= 0.27x + 8.88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Sheet1!$C$40:$C$41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lg(N)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Sheet1!$D$42:$D$47</c:f>
            </c:numRef>
          </c:xVal>
          <c:yVal>
            <c:numRef>
              <c:f>Sheet1!$C$42:$C$47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501010"/>
        <c:axId val="665733519"/>
      </c:scatterChart>
      <c:valAx>
        <c:axId val="4545010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5733519"/>
      </c:valAx>
      <c:valAx>
        <c:axId val="6657335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501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Sheet1!$B$58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T(N)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Sheet1!$A$59:$A$64</c:f>
            </c:numRef>
          </c:xVal>
          <c:yVal>
            <c:numRef>
              <c:f>Sheet1!$B$59:$B$64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263887"/>
        <c:axId val="1203649971"/>
      </c:scatterChart>
      <c:valAx>
        <c:axId val="21212638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3649971"/>
      </c:valAx>
      <c:valAx>
        <c:axId val="1203649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263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= 0.25x + 9.39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Sheet1!$D$58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lg(T(N))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Sheet1!$C$59:$C$64</c:f>
            </c:numRef>
          </c:xVal>
          <c:yVal>
            <c:numRef>
              <c:f>Sheet1!$D$59:$D$64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982299"/>
        <c:axId val="963309695"/>
      </c:scatterChart>
      <c:valAx>
        <c:axId val="15919822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309695"/>
      </c:valAx>
      <c:valAx>
        <c:axId val="963309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9822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152400</xdr:rowOff>
    </xdr:from>
    <xdr:ext cx="2924175" cy="1809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38100</xdr:colOff>
      <xdr:row>7</xdr:row>
      <xdr:rowOff>152400</xdr:rowOff>
    </xdr:from>
    <xdr:ext cx="2924175" cy="1809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200025</xdr:rowOff>
    </xdr:from>
    <xdr:ext cx="2924175" cy="18097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38100</xdr:colOff>
      <xdr:row>26</xdr:row>
      <xdr:rowOff>0</xdr:rowOff>
    </xdr:from>
    <xdr:ext cx="2924175" cy="18097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2924175" cy="18097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38100</xdr:colOff>
      <xdr:row>46</xdr:row>
      <xdr:rowOff>200025</xdr:rowOff>
    </xdr:from>
    <xdr:ext cx="2924175" cy="18097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63</xdr:row>
      <xdr:rowOff>190500</xdr:rowOff>
    </xdr:from>
    <xdr:ext cx="2876550" cy="18097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952500</xdr:colOff>
      <xdr:row>63</xdr:row>
      <xdr:rowOff>190500</xdr:rowOff>
    </xdr:from>
    <xdr:ext cx="2924175" cy="18097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1000.0</v>
      </c>
      <c r="B2" s="1">
        <v>1088.0</v>
      </c>
      <c r="C2" s="3">
        <f t="shared" ref="C2:D2" si="1">LOG(A2,2)</f>
        <v>9.965784285</v>
      </c>
      <c r="D2" s="3">
        <f t="shared" si="1"/>
        <v>10.08746284</v>
      </c>
      <c r="E2" s="3">
        <f>SUM(MULTIPLY(A2,G2),H2)</f>
        <v>282.0959653</v>
      </c>
      <c r="G2" s="3">
        <f>SLOPE(D2:D7,C2:C7)</f>
        <v>0.2749141526</v>
      </c>
      <c r="H2" s="3">
        <f>INTERCEPT(D2:D7,C2:C7)</f>
        <v>7.181812706</v>
      </c>
    </row>
    <row r="3">
      <c r="A3" s="2">
        <v>2000.0</v>
      </c>
      <c r="B3" s="1">
        <v>1122.0</v>
      </c>
      <c r="C3" s="3">
        <f t="shared" ref="C3:D3" si="2">LOG(A3,2)</f>
        <v>10.96578428</v>
      </c>
      <c r="D3" s="3">
        <f t="shared" si="2"/>
        <v>10.13185696</v>
      </c>
      <c r="E3" s="3">
        <f>SUM(MULTIPLY(A3,G2),H2)</f>
        <v>557.010118</v>
      </c>
      <c r="F3" s="3">
        <f t="shared" ref="F3:F7" si="4">QUOTIENT(B3,B2)</f>
        <v>1</v>
      </c>
    </row>
    <row r="4">
      <c r="A4" s="2">
        <v>4000.0</v>
      </c>
      <c r="B4" s="1">
        <v>1396.0</v>
      </c>
      <c r="C4" s="3">
        <f t="shared" ref="C4:D4" si="3">LOG(A4,2)</f>
        <v>11.96578428</v>
      </c>
      <c r="D4" s="3">
        <f t="shared" si="3"/>
        <v>10.44708323</v>
      </c>
      <c r="E4" s="3">
        <f>SUM(MULTIPLY(A4,G2),H2)</f>
        <v>1106.838423</v>
      </c>
      <c r="F4" s="3">
        <f t="shared" si="4"/>
        <v>1</v>
      </c>
      <c r="G4" s="4"/>
    </row>
    <row r="5">
      <c r="A5" s="2">
        <v>8000.0</v>
      </c>
      <c r="B5" s="1">
        <v>1512.0</v>
      </c>
      <c r="C5" s="3">
        <f t="shared" ref="C5:D5" si="5">LOG(A5,2)</f>
        <v>12.96578428</v>
      </c>
      <c r="D5" s="3">
        <f t="shared" si="5"/>
        <v>10.56224242</v>
      </c>
      <c r="E5" s="3">
        <f>SUM(MULTIPLY(A5,G2),H2)</f>
        <v>2206.495034</v>
      </c>
      <c r="F5" s="3">
        <f t="shared" si="4"/>
        <v>1</v>
      </c>
      <c r="G5" s="5"/>
    </row>
    <row r="6">
      <c r="A6" s="2">
        <v>16000.0</v>
      </c>
      <c r="B6" s="1">
        <v>1899.0</v>
      </c>
      <c r="C6" s="3">
        <f t="shared" ref="C6:D6" si="6">LOG(A6,2)</f>
        <v>13.96578428</v>
      </c>
      <c r="D6" s="3">
        <f t="shared" si="6"/>
        <v>10.89102419</v>
      </c>
      <c r="E6" s="3">
        <f>SUM(MULTIPLY(A6,G2),H2)</f>
        <v>4405.808255</v>
      </c>
      <c r="F6" s="3">
        <f t="shared" si="4"/>
        <v>1</v>
      </c>
    </row>
    <row r="7">
      <c r="A7" s="2">
        <v>32000.0</v>
      </c>
      <c r="B7" s="1">
        <v>2964.0</v>
      </c>
      <c r="C7" s="3">
        <f t="shared" ref="C7:D7" si="7">LOG(A7,2)</f>
        <v>14.96578428</v>
      </c>
      <c r="D7" s="3">
        <f t="shared" si="7"/>
        <v>11.53332973</v>
      </c>
      <c r="E7" s="3">
        <f>SUM(MULTIPLY(A7,G2),H2)</f>
        <v>8804.434697</v>
      </c>
      <c r="F7" s="3">
        <f t="shared" si="4"/>
        <v>1</v>
      </c>
    </row>
    <row r="19">
      <c r="A19" s="1" t="s">
        <v>8</v>
      </c>
    </row>
    <row r="20">
      <c r="A20" s="1" t="s">
        <v>9</v>
      </c>
      <c r="B20" s="1" t="s">
        <v>10</v>
      </c>
      <c r="C20" s="1" t="s">
        <v>11</v>
      </c>
      <c r="D20" s="1" t="s">
        <v>3</v>
      </c>
      <c r="E20" s="1" t="s">
        <v>4</v>
      </c>
      <c r="F20" s="1" t="s">
        <v>12</v>
      </c>
      <c r="G20" s="1" t="s">
        <v>6</v>
      </c>
      <c r="H20" s="1" t="s">
        <v>7</v>
      </c>
    </row>
    <row r="21">
      <c r="A21" s="1">
        <v>1000.0</v>
      </c>
      <c r="B21" s="1">
        <v>759.0</v>
      </c>
      <c r="C21" s="3">
        <f t="shared" ref="C21:D21" si="8">LOG(A21,2)</f>
        <v>9.965784285</v>
      </c>
      <c r="D21" s="3">
        <f t="shared" si="8"/>
        <v>9.567956075</v>
      </c>
      <c r="E21" s="3">
        <f t="shared" ref="E21:E26" si="10">SUM(MULTIPLY(A21,G$21),H$21)</f>
        <v>576.59129</v>
      </c>
      <c r="G21" s="3">
        <f>SLOPE(D21:D26,C21:C26)</f>
        <v>0.5730496782</v>
      </c>
      <c r="H21" s="3">
        <f>INTERCEPT(D21:D26,C21:C26)</f>
        <v>3.541611819</v>
      </c>
    </row>
    <row r="22">
      <c r="A22" s="1">
        <v>2000.0</v>
      </c>
      <c r="B22" s="1">
        <v>816.0</v>
      </c>
      <c r="C22" s="3">
        <f t="shared" ref="C22:D22" si="9">LOG(A22,2)</f>
        <v>10.96578428</v>
      </c>
      <c r="D22" s="3">
        <f t="shared" si="9"/>
        <v>9.672425342</v>
      </c>
      <c r="E22" s="3">
        <f t="shared" si="10"/>
        <v>1149.640968</v>
      </c>
      <c r="F22" s="3">
        <f t="shared" ref="F22:F26" si="12">QUOTIENT(B22,B21)</f>
        <v>1</v>
      </c>
    </row>
    <row r="23">
      <c r="A23" s="1">
        <v>4000.0</v>
      </c>
      <c r="B23" s="1">
        <v>1428.0</v>
      </c>
      <c r="C23" s="3">
        <f t="shared" ref="C23:D23" si="11">LOG(A23,2)</f>
        <v>11.96578428</v>
      </c>
      <c r="D23" s="3">
        <f t="shared" si="11"/>
        <v>10.47978026</v>
      </c>
      <c r="E23" s="3">
        <f t="shared" si="10"/>
        <v>2295.740325</v>
      </c>
      <c r="F23" s="3">
        <f t="shared" si="12"/>
        <v>1</v>
      </c>
    </row>
    <row r="24">
      <c r="A24" s="1">
        <v>8000.0</v>
      </c>
      <c r="B24" s="1">
        <v>1433.0</v>
      </c>
      <c r="C24" s="3">
        <f t="shared" ref="C24:D24" si="13">LOG(A24,2)</f>
        <v>12.96578428</v>
      </c>
      <c r="D24" s="3">
        <f t="shared" si="13"/>
        <v>10.48482289</v>
      </c>
      <c r="E24" s="3">
        <f t="shared" si="10"/>
        <v>4587.939037</v>
      </c>
      <c r="F24" s="3">
        <f t="shared" si="12"/>
        <v>1</v>
      </c>
    </row>
    <row r="25">
      <c r="A25" s="1">
        <v>16000.0</v>
      </c>
      <c r="B25" s="1">
        <v>2539.0</v>
      </c>
      <c r="C25" s="3">
        <f t="shared" ref="C25:D25" si="14">LOG(A25,2)</f>
        <v>13.96578428</v>
      </c>
      <c r="D25" s="3">
        <f t="shared" si="14"/>
        <v>11.31004468</v>
      </c>
      <c r="E25" s="3">
        <f t="shared" si="10"/>
        <v>9172.336463</v>
      </c>
      <c r="F25" s="3">
        <f t="shared" si="12"/>
        <v>1</v>
      </c>
    </row>
    <row r="26">
      <c r="A26" s="1">
        <v>32000.0</v>
      </c>
      <c r="B26" s="1">
        <v>6190.0</v>
      </c>
      <c r="C26" s="3">
        <f t="shared" ref="C26:D26" si="15">LOG(A26,2)</f>
        <v>14.96578428</v>
      </c>
      <c r="D26" s="3">
        <f t="shared" si="15"/>
        <v>12.59572369</v>
      </c>
      <c r="E26" s="3">
        <f t="shared" si="10"/>
        <v>18341.13131</v>
      </c>
      <c r="F26" s="3">
        <f t="shared" si="12"/>
        <v>2</v>
      </c>
    </row>
    <row r="40">
      <c r="A40" s="1" t="s">
        <v>13</v>
      </c>
    </row>
    <row r="41">
      <c r="A41" s="1" t="s">
        <v>14</v>
      </c>
      <c r="B41" s="1" t="s">
        <v>1</v>
      </c>
      <c r="C41" s="1" t="s">
        <v>11</v>
      </c>
      <c r="D41" s="1" t="s">
        <v>3</v>
      </c>
      <c r="E41" s="1" t="s">
        <v>4</v>
      </c>
      <c r="F41" s="1" t="s">
        <v>15</v>
      </c>
      <c r="G41" s="1" t="s">
        <v>6</v>
      </c>
      <c r="H41" s="1" t="s">
        <v>7</v>
      </c>
    </row>
    <row r="42">
      <c r="A42" s="1">
        <v>1000.0</v>
      </c>
      <c r="B42" s="6">
        <v>3681.0</v>
      </c>
      <c r="C42" s="3">
        <f t="shared" ref="C42:D42" si="16">LOG(A42,2)</f>
        <v>9.965784285</v>
      </c>
      <c r="D42" s="3">
        <f t="shared" si="16"/>
        <v>11.84588203</v>
      </c>
      <c r="E42" s="3">
        <f t="shared" ref="E42:E47" si="18">SUM(MULTIPLY(A42,G$42),H$42)</f>
        <v>285.5740041</v>
      </c>
      <c r="G42" s="3">
        <f>SLOPE(D42:D47,C42:C47)</f>
        <v>0.2766915169</v>
      </c>
      <c r="H42" s="3">
        <f>INTERCEPT(D42:D47,C42:C47)</f>
        <v>8.882487229</v>
      </c>
    </row>
    <row r="43">
      <c r="A43" s="1">
        <v>2000.0</v>
      </c>
      <c r="B43" s="6">
        <v>3835.0</v>
      </c>
      <c r="C43" s="3">
        <f t="shared" ref="C43:D43" si="17">LOG(A43,2)</f>
        <v>10.96578428</v>
      </c>
      <c r="D43" s="3">
        <f t="shared" si="17"/>
        <v>11.90501086</v>
      </c>
      <c r="E43" s="3">
        <f t="shared" si="18"/>
        <v>562.2655211</v>
      </c>
      <c r="F43" s="3">
        <f t="shared" ref="F43:F47" si="20">QUOTIENT(B43,B42)</f>
        <v>1</v>
      </c>
    </row>
    <row r="44">
      <c r="A44" s="1">
        <v>4000.0</v>
      </c>
      <c r="B44" s="6">
        <v>4242.0</v>
      </c>
      <c r="C44" s="3">
        <f t="shared" ref="C44:D44" si="19">LOG(A44,2)</f>
        <v>11.96578428</v>
      </c>
      <c r="D44" s="3">
        <f t="shared" si="19"/>
        <v>12.05052891</v>
      </c>
      <c r="E44" s="3">
        <f t="shared" si="18"/>
        <v>1115.648555</v>
      </c>
      <c r="F44" s="3">
        <f t="shared" si="20"/>
        <v>1</v>
      </c>
    </row>
    <row r="45">
      <c r="A45" s="1">
        <v>8000.0</v>
      </c>
      <c r="B45" s="6">
        <v>4836.0</v>
      </c>
      <c r="C45" s="3">
        <f t="shared" ref="C45:D45" si="21">LOG(A45,2)</f>
        <v>12.96578428</v>
      </c>
      <c r="D45" s="3">
        <f t="shared" si="21"/>
        <v>12.23959853</v>
      </c>
      <c r="E45" s="3">
        <f t="shared" si="18"/>
        <v>2222.414623</v>
      </c>
      <c r="F45" s="3">
        <f t="shared" si="20"/>
        <v>1</v>
      </c>
    </row>
    <row r="46">
      <c r="A46" s="1">
        <v>16000.0</v>
      </c>
      <c r="B46" s="6">
        <v>6439.0</v>
      </c>
      <c r="C46" s="3">
        <f t="shared" ref="C46:D46" si="22">LOG(A46,2)</f>
        <v>13.96578428</v>
      </c>
      <c r="D46" s="3">
        <f t="shared" si="22"/>
        <v>12.65262093</v>
      </c>
      <c r="E46" s="3">
        <f t="shared" si="18"/>
        <v>4435.946758</v>
      </c>
      <c r="F46" s="3">
        <f t="shared" si="20"/>
        <v>1</v>
      </c>
    </row>
    <row r="47">
      <c r="A47" s="1">
        <v>32000.0</v>
      </c>
      <c r="B47" s="6">
        <v>10060.0</v>
      </c>
      <c r="C47" s="3">
        <f t="shared" ref="C47:D47" si="23">LOG(A47,2)</f>
        <v>14.96578428</v>
      </c>
      <c r="D47" s="3">
        <f t="shared" si="23"/>
        <v>13.29634268</v>
      </c>
      <c r="E47" s="3">
        <f t="shared" si="18"/>
        <v>8863.011028</v>
      </c>
      <c r="F47" s="3">
        <f t="shared" si="20"/>
        <v>1</v>
      </c>
    </row>
    <row r="56">
      <c r="A56" s="1" t="s">
        <v>16</v>
      </c>
    </row>
    <row r="58">
      <c r="A58" s="1" t="s">
        <v>9</v>
      </c>
      <c r="B58" s="1" t="s">
        <v>10</v>
      </c>
      <c r="C58" s="1" t="s">
        <v>11</v>
      </c>
      <c r="D58" s="1" t="s">
        <v>3</v>
      </c>
      <c r="E58" s="1" t="s">
        <v>4</v>
      </c>
      <c r="F58" s="1" t="s">
        <v>17</v>
      </c>
      <c r="G58" s="1" t="s">
        <v>6</v>
      </c>
      <c r="H58" s="1" t="s">
        <v>7</v>
      </c>
    </row>
    <row r="59">
      <c r="A59" s="1">
        <v>1000.0</v>
      </c>
      <c r="B59" s="6">
        <v>4396.0</v>
      </c>
      <c r="C59" s="3">
        <f t="shared" ref="C59:D59" si="24">LOG(A59,2)</f>
        <v>9.965784285</v>
      </c>
      <c r="D59" s="3">
        <f t="shared" si="24"/>
        <v>12.10197567</v>
      </c>
      <c r="E59" s="3">
        <f t="shared" ref="E59:E64" si="26">SUM(MULTIPLY(A59,G$59),H$59)</f>
        <v>261.6016592</v>
      </c>
      <c r="G59" s="3">
        <f>SLOPE(D59:D64,C59:C64)</f>
        <v>0.2522161809</v>
      </c>
      <c r="H59" s="3">
        <f>INTERCEPT(D59:D64,C59:C64)</f>
        <v>9.385478312</v>
      </c>
    </row>
    <row r="60">
      <c r="A60" s="1">
        <v>2000.0</v>
      </c>
      <c r="B60" s="6">
        <v>4397.0</v>
      </c>
      <c r="C60" s="3">
        <f t="shared" ref="C60:D60" si="25">LOG(A60,2)</f>
        <v>10.96578428</v>
      </c>
      <c r="D60" s="3">
        <f t="shared" si="25"/>
        <v>12.10230382</v>
      </c>
      <c r="E60" s="3">
        <f t="shared" si="26"/>
        <v>513.8178401</v>
      </c>
      <c r="F60" s="3">
        <f t="shared" ref="F60:F64" si="28">QUOTIENT(B60,B59)</f>
        <v>1</v>
      </c>
    </row>
    <row r="61">
      <c r="A61" s="1">
        <v>4000.0</v>
      </c>
      <c r="B61" s="6">
        <v>4515.0</v>
      </c>
      <c r="C61" s="3">
        <f t="shared" ref="C61:D61" si="27">LOG(A61,2)</f>
        <v>11.96578428</v>
      </c>
      <c r="D61" s="3">
        <f t="shared" si="27"/>
        <v>12.14051027</v>
      </c>
      <c r="E61" s="3">
        <f t="shared" si="26"/>
        <v>1018.250202</v>
      </c>
      <c r="F61" s="3">
        <f t="shared" si="28"/>
        <v>1</v>
      </c>
    </row>
    <row r="62">
      <c r="A62" s="1">
        <v>8000.0</v>
      </c>
      <c r="B62" s="6">
        <v>6783.0</v>
      </c>
      <c r="C62" s="3">
        <f t="shared" ref="C62:D62" si="29">LOG(A62,2)</f>
        <v>12.96578428</v>
      </c>
      <c r="D62" s="3">
        <f t="shared" si="29"/>
        <v>12.72770778</v>
      </c>
      <c r="E62" s="3">
        <f t="shared" si="26"/>
        <v>2027.114925</v>
      </c>
      <c r="F62" s="3">
        <f t="shared" si="28"/>
        <v>1</v>
      </c>
    </row>
    <row r="63">
      <c r="A63" s="1">
        <v>16000.0</v>
      </c>
      <c r="B63" s="6">
        <v>6810.0</v>
      </c>
      <c r="C63" s="3">
        <f t="shared" ref="C63:D63" si="30">LOG(A63,2)</f>
        <v>13.96578428</v>
      </c>
      <c r="D63" s="3">
        <f t="shared" si="30"/>
        <v>12.73343908</v>
      </c>
      <c r="E63" s="3">
        <f t="shared" si="26"/>
        <v>4044.844372</v>
      </c>
      <c r="F63" s="3">
        <f t="shared" si="28"/>
        <v>1</v>
      </c>
    </row>
    <row r="64">
      <c r="A64" s="1">
        <v>32000.0</v>
      </c>
      <c r="B64" s="6">
        <v>10597.0</v>
      </c>
      <c r="C64" s="3">
        <f t="shared" ref="C64:D64" si="31">LOG(A64,2)</f>
        <v>14.96578428</v>
      </c>
      <c r="D64" s="3">
        <f t="shared" si="31"/>
        <v>13.37136828</v>
      </c>
      <c r="E64" s="3">
        <f t="shared" si="26"/>
        <v>8080.303266</v>
      </c>
      <c r="F64" s="3">
        <f t="shared" si="28"/>
        <v>1</v>
      </c>
    </row>
  </sheetData>
  <drawing r:id="rId1"/>
</worksheet>
</file>